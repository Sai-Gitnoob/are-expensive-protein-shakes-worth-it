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ata" sheetId="2" r:id="rId6"/>
  </sheets>
  <definedNames/>
  <calcPr/>
</workbook>
</file>

<file path=xl/sharedStrings.xml><?xml version="1.0" encoding="utf-8"?>
<sst xmlns="http://schemas.openxmlformats.org/spreadsheetml/2006/main" count="95" uniqueCount="63">
  <si>
    <t>Provilac High Protein</t>
  </si>
  <si>
    <t>0g</t>
  </si>
  <si>
    <t>250ml</t>
  </si>
  <si>
    <r>
      <rPr>
        <rFont val="&quot;Google Sans&quot;, Arial, sans-serif"/>
        <color rgb="FF1155CC"/>
        <sz val="11.0"/>
        <u/>
      </rPr>
      <t>Provilac</t>
    </r>
    <r>
      <rPr>
        <rFont val="&quot;Google Sans&quot;, Arial, sans-serif"/>
        <sz val="11.0"/>
      </rPr>
      <t xml:space="preserve"> states it is 100% zero fat.</t>
    </r>
  </si>
  <si>
    <t>Epigamia Turbo</t>
  </si>
  <si>
    <t>0g to 1g</t>
  </si>
  <si>
    <r>
      <t xml:space="preserve">Marketed as </t>
    </r>
    <r>
      <rPr>
        <rFont val="&quot;Google Sans&quot;, Arial, sans-serif"/>
        <color rgb="FF1155CC"/>
        <sz val="11.0"/>
        <u/>
      </rPr>
      <t>Zero Fat</t>
    </r>
    <r>
      <rPr>
        <rFont val="&quot;Google Sans&quot;, Arial, sans-serif"/>
        <sz val="11.0"/>
      </rPr>
      <t xml:space="preserve">; some flavors show ~1g total fat on retailers like </t>
    </r>
    <r>
      <rPr>
        <rFont val="&quot;Google Sans&quot;, Arial, sans-serif"/>
        <color rgb="FF1155CC"/>
        <sz val="11.0"/>
        <u/>
      </rPr>
      <t>Swiggy Instamart</t>
    </r>
    <r>
      <rPr>
        <rFont val="&quot;Google Sans&quot;, Arial, sans-serif"/>
        <sz val="11.0"/>
      </rPr>
      <t>.</t>
    </r>
  </si>
  <si>
    <t>Amul Protein Shake</t>
  </si>
  <si>
    <t>1.5g to 2.7g</t>
  </si>
  <si>
    <t>200ml / 180ml</t>
  </si>
  <si>
    <r>
      <rPr>
        <rFont val="&quot;Google Sans&quot;, Arial, sans-serif"/>
        <color rgb="FF1155CC"/>
        <sz val="11.0"/>
        <u/>
      </rPr>
      <t>Amul High Protein Shake</t>
    </r>
    <r>
      <rPr>
        <rFont val="&quot;Google Sans&quot;, Arial, sans-serif"/>
        <sz val="11.0"/>
      </rPr>
      <t xml:space="preserve"> has 1.5g; </t>
    </r>
    <r>
      <rPr>
        <rFont val="&quot;Google Sans&quot;, Arial, sans-serif"/>
        <color rgb="FF1155CC"/>
        <sz val="11.0"/>
        <u/>
      </rPr>
      <t>Amul Kool Protein</t>
    </r>
    <r>
      <rPr>
        <rFont val="&quot;Google Sans&quot;, Arial, sans-serif"/>
        <sz val="11.0"/>
      </rPr>
      <t xml:space="preserve"> has 2.7g.</t>
    </r>
  </si>
  <si>
    <t>Yoga Bar Protein Shake</t>
  </si>
  <si>
    <t>2.5g to 3.5g</t>
  </si>
  <si>
    <r>
      <rPr>
        <rFont val="&quot;Google Sans&quot;, Arial, sans-serif"/>
        <color rgb="FF1155CC"/>
        <sz val="11.0"/>
        <u/>
      </rPr>
      <t>Yoga Bar 26g Protein Shake</t>
    </r>
    <r>
      <rPr>
        <rFont val="&quot;Google Sans&quot;, Arial, sans-serif"/>
        <sz val="11.0"/>
      </rPr>
      <t xml:space="preserve"> contains approx. 2.5g of fat.</t>
    </r>
  </si>
  <si>
    <t>Phab Protein Milkshake</t>
  </si>
  <si>
    <t>3.8g to 4.3g</t>
  </si>
  <si>
    <t>200ml</t>
  </si>
  <si>
    <r>
      <rPr>
        <rFont val="&quot;Google Sans&quot;, Arial, sans-serif"/>
        <color rgb="FF1155CC"/>
        <sz val="11.0"/>
        <u/>
      </rPr>
      <t>Phab Chocolate</t>
    </r>
    <r>
      <rPr>
        <rFont val="&quot;Google Sans&quot;, Arial, sans-serif"/>
        <sz val="11.0"/>
      </rPr>
      <t xml:space="preserve"> contains 3.8g of fat.</t>
    </r>
  </si>
  <si>
    <t>Nuvie Protein Shake</t>
  </si>
  <si>
    <t>4.9g to 5.0g</t>
  </si>
  <si>
    <t>Nuvie reports 4.9g total fat per bottle.</t>
  </si>
  <si>
    <t>Raw Pressery Protein</t>
  </si>
  <si>
    <t>0.58g to 7.3g</t>
  </si>
  <si>
    <r>
      <t xml:space="preserve">Ranges from </t>
    </r>
    <r>
      <rPr>
        <rFont val="&quot;Google Sans&quot;, Arial, sans-serif"/>
        <color rgb="FF1155CC"/>
        <sz val="11.0"/>
        <u/>
      </rPr>
      <t>0.58g</t>
    </r>
    <r>
      <rPr>
        <rFont val="&quot;Google Sans&quot;, Arial, sans-serif"/>
        <sz val="11.0"/>
      </rPr>
      <t xml:space="preserve"> (Choco Mint) to </t>
    </r>
    <r>
      <rPr>
        <rFont val="&quot;Google Sans&quot;, Arial, sans-serif"/>
        <color rgb="FF1155CC"/>
        <sz val="11.0"/>
        <u/>
      </rPr>
      <t>7.3g</t>
    </r>
    <r>
      <rPr>
        <rFont val="&quot;Google Sans&quot;, Arial, sans-serif"/>
        <sz val="11.0"/>
      </rPr>
      <t xml:space="preserve"> (Coffee) depending on ingredients.</t>
    </r>
  </si>
  <si>
    <t>Product name</t>
  </si>
  <si>
    <t>Brand Name</t>
  </si>
  <si>
    <t>Serving Size (ml)</t>
  </si>
  <si>
    <t>Protein per Serving (g)</t>
  </si>
  <si>
    <t>Price (INR)</t>
  </si>
  <si>
    <t>Protein Per Rupee</t>
  </si>
  <si>
    <t>Protein Type</t>
  </si>
  <si>
    <t>Calories per Serving</t>
  </si>
  <si>
    <t>Calorie without sugar</t>
  </si>
  <si>
    <t>Sugar Calories</t>
  </si>
  <si>
    <t>Sugar (g)</t>
  </si>
  <si>
    <t>Fat</t>
  </si>
  <si>
    <t>Added Flavours</t>
  </si>
  <si>
    <t>Digestibility Rating (out of 5)</t>
  </si>
  <si>
    <t>Country of origin</t>
  </si>
  <si>
    <t>AminoAcid Profile</t>
  </si>
  <si>
    <t>Certifications</t>
  </si>
  <si>
    <t>Brand Trust Score</t>
  </si>
  <si>
    <t>Provilac</t>
  </si>
  <si>
    <t>Whey Protein Isolate</t>
  </si>
  <si>
    <t>Yes</t>
  </si>
  <si>
    <t>India</t>
  </si>
  <si>
    <t>Complete Whey Amino Acid Profile</t>
  </si>
  <si>
    <t>FSSAI</t>
  </si>
  <si>
    <t>Phab</t>
  </si>
  <si>
    <t>Whey Protein</t>
  </si>
  <si>
    <t>Epigamia Turbo Protein Milkshake</t>
  </si>
  <si>
    <t>Epigamia</t>
  </si>
  <si>
    <t>Nuvie Protein Milkshake</t>
  </si>
  <si>
    <t>Nuvie</t>
  </si>
  <si>
    <t>Plant Protein (Pea + Almond)</t>
  </si>
  <si>
    <t>Plant Amino Acid Blend</t>
  </si>
  <si>
    <t>Yoga Bar</t>
  </si>
  <si>
    <t>Whey + Milk Protein</t>
  </si>
  <si>
    <t>Complete Dairy Amino Acid Profile</t>
  </si>
  <si>
    <t>Raw Protein Milkshake</t>
  </si>
  <si>
    <t>Raw</t>
  </si>
  <si>
    <t>Amul</t>
  </si>
  <si>
    <t>Milk Protein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</si>
</sst>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E6E8F0"/>
      <name val="&quot;Google Sans&quot;"/>
    </font>
    <font>
      <sz val="11.0"/>
      <color rgb="FFE6E8F0"/>
      <name val="&quot;Google Sans&quot;"/>
    </font>
    <font>
      <u/>
      <sz val="11.0"/>
      <color rgb="FF0000FF"/>
      <name val="&quot;Google Sans&quot;"/>
    </font>
    <font>
      <u/>
      <sz val="11.0"/>
      <color rgb="FF0000FF"/>
      <name val="&quot;Google Sans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01218"/>
        <bgColor rgb="FF101218"/>
      </patternFill>
    </fill>
  </fills>
  <borders count="2">
    <border/>
    <border>
      <bottom style="thin">
        <color rgb="FF2D2F35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1" fillId="2" fontId="1" numFmtId="0" xfId="0" applyAlignment="1" applyBorder="1" applyFont="1">
      <alignment readingOrder="0" vertical="top"/>
    </xf>
    <xf borderId="1" fillId="2" fontId="2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vertical="top"/>
    </xf>
    <xf borderId="1" fillId="2" fontId="2" numFmtId="0" xfId="0" applyAlignment="1" applyBorder="1" applyFont="1">
      <alignment readingOrder="0" shrinkToFit="0" vertical="top" wrapText="1"/>
    </xf>
    <xf borderId="0" fillId="2" fontId="1" numFmtId="0" xfId="0" applyAlignment="1" applyFont="1">
      <alignment readingOrder="0" shrinkToFit="0" vertical="top" wrapText="1"/>
    </xf>
    <xf borderId="0" fillId="2" fontId="1" numFmtId="0" xfId="0" applyAlignment="1" applyFont="1">
      <alignment readingOrder="0" vertical="top"/>
    </xf>
    <xf borderId="0" fillId="2" fontId="2" numFmtId="0" xfId="0" applyAlignment="1" applyFont="1">
      <alignment readingOrder="0" vertical="top"/>
    </xf>
    <xf borderId="0" fillId="0" fontId="4" numFmtId="0" xfId="0" applyAlignment="1" applyFont="1">
      <alignment readingOrder="0" vertical="top"/>
    </xf>
    <xf borderId="0" fillId="0" fontId="5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Protein Per Serving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Data!$D$1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Data!$A$2:$A$8</c:f>
            </c:strRef>
          </c:cat>
          <c:val>
            <c:numRef>
              <c:f>Data!$D$2:$D$8</c:f>
              <c:numCache/>
            </c:numRef>
          </c:val>
        </c:ser>
        <c:axId val="152088055"/>
        <c:axId val="1319052759"/>
      </c:barChart>
      <c:catAx>
        <c:axId val="1520880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9052759"/>
      </c:catAx>
      <c:valAx>
        <c:axId val="13190527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Protein per Serving (g)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0880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Protein Per Rupee vs. Product name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Data!$F$1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Data!$A$2:$A$8</c:f>
            </c:strRef>
          </c:cat>
          <c:val>
            <c:numRef>
              <c:f>Data!$F$2:$F$8</c:f>
              <c:numCache/>
            </c:numRef>
          </c:val>
        </c:ser>
        <c:axId val="1233778524"/>
        <c:axId val="1256219244"/>
      </c:barChart>
      <c:catAx>
        <c:axId val="12337785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6219244"/>
      </c:catAx>
      <c:valAx>
        <c:axId val="12562192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Protein Per Rupee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37785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Protein per Serving (g) and Calories per Serving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Data!$D$1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Data!$A$2:$A$8</c:f>
            </c:strRef>
          </c:cat>
          <c:val>
            <c:numRef>
              <c:f>Data!$D$2:$D$8</c:f>
              <c:numCache/>
            </c:numRef>
          </c:val>
        </c:ser>
        <c:ser>
          <c:idx val="1"/>
          <c:order val="1"/>
          <c:tx>
            <c:strRef>
              <c:f>Data!$H$1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Data!$A$2:$A$8</c:f>
            </c:strRef>
          </c:cat>
          <c:val>
            <c:numRef>
              <c:f>Data!$H$2:$H$8</c:f>
              <c:numCache/>
            </c:numRef>
          </c:val>
        </c:ser>
        <c:axId val="1292843353"/>
        <c:axId val="376614760"/>
      </c:barChart>
      <c:catAx>
        <c:axId val="12928433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6614760"/>
      </c:catAx>
      <c:valAx>
        <c:axId val="3766147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28433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Protein per Serving (g), Sugar (g) and Fat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Data!$D$1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Data!$A$2:$A$8</c:f>
            </c:strRef>
          </c:cat>
          <c:val>
            <c:numRef>
              <c:f>Data!$D$2:$D$8</c:f>
              <c:numCache/>
            </c:numRef>
          </c:val>
        </c:ser>
        <c:ser>
          <c:idx val="1"/>
          <c:order val="1"/>
          <c:tx>
            <c:strRef>
              <c:f>Data!$K$1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Data!$A$2:$A$8</c:f>
            </c:strRef>
          </c:cat>
          <c:val>
            <c:numRef>
              <c:f>Data!$K$2:$K$8</c:f>
              <c:numCache/>
            </c:numRef>
          </c:val>
        </c:ser>
        <c:ser>
          <c:idx val="2"/>
          <c:order val="2"/>
          <c:tx>
            <c:strRef>
              <c:f>Data!$L$1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Data!$A$2:$A$8</c:f>
            </c:strRef>
          </c:cat>
          <c:val>
            <c:numRef>
              <c:f>Data!$L$2:$L$8</c:f>
              <c:numCache/>
            </c:numRef>
          </c:val>
        </c:ser>
        <c:overlap val="100"/>
        <c:axId val="629862334"/>
        <c:axId val="1567270329"/>
      </c:barChart>
      <c:catAx>
        <c:axId val="6298623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7270329"/>
      </c:catAx>
      <c:valAx>
        <c:axId val="15672703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98623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Sugar (g) and Fat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Data!$K$1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Data!$A$2:$A$8</c:f>
            </c:strRef>
          </c:cat>
          <c:val>
            <c:numRef>
              <c:f>Data!$K$2:$K$8</c:f>
              <c:numCache/>
            </c:numRef>
          </c:val>
        </c:ser>
        <c:ser>
          <c:idx val="1"/>
          <c:order val="1"/>
          <c:tx>
            <c:strRef>
              <c:f>Data!$L$1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Data!$A$2:$A$8</c:f>
            </c:strRef>
          </c:cat>
          <c:val>
            <c:numRef>
              <c:f>Data!$L$2:$L$8</c:f>
              <c:numCache/>
            </c:numRef>
          </c:val>
        </c:ser>
        <c:axId val="1347222311"/>
        <c:axId val="1146408982"/>
      </c:barChart>
      <c:catAx>
        <c:axId val="1347222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6408982"/>
      </c:catAx>
      <c:valAx>
        <c:axId val="11464089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72223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Calorie without sugar and Sugar Calories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Data!$I$1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Data!$A$2:$A$8</c:f>
            </c:strRef>
          </c:cat>
          <c:val>
            <c:numRef>
              <c:f>Data!$I$2:$I$8</c:f>
              <c:numCache/>
            </c:numRef>
          </c:val>
        </c:ser>
        <c:ser>
          <c:idx val="1"/>
          <c:order val="1"/>
          <c:tx>
            <c:strRef>
              <c:f>Data!$J$1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Data!$A$2:$A$8</c:f>
            </c:strRef>
          </c:cat>
          <c:val>
            <c:numRef>
              <c:f>Data!$J$2:$J$8</c:f>
              <c:numCache/>
            </c:numRef>
          </c:val>
        </c:ser>
        <c:overlap val="100"/>
        <c:axId val="1370180100"/>
        <c:axId val="1213136518"/>
      </c:barChart>
      <c:catAx>
        <c:axId val="13701801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3136518"/>
      </c:catAx>
      <c:valAx>
        <c:axId val="12131365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Calories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01801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Brand Trust Score vs. Product name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Data!$R$1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Data!$A$2:$A$8</c:f>
            </c:strRef>
          </c:cat>
          <c:val>
            <c:numRef>
              <c:f>Data!$R$2:$R$8</c:f>
              <c:numCache/>
            </c:numRef>
          </c:val>
        </c:ser>
        <c:axId val="474656637"/>
        <c:axId val="632553755"/>
      </c:barChart>
      <c:catAx>
        <c:axId val="4746566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2553755"/>
      </c:catAx>
      <c:valAx>
        <c:axId val="6325537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Brand Trust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46566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1266825</xdr:colOff>
      <xdr:row>9</xdr:row>
      <xdr:rowOff>104775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1590675</xdr:colOff>
      <xdr:row>9</xdr:row>
      <xdr:rowOff>104775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1266825</xdr:colOff>
      <xdr:row>9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1133475</xdr:colOff>
      <xdr:row>10</xdr:row>
      <xdr:rowOff>133350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1066800</xdr:colOff>
      <xdr:row>10</xdr:row>
      <xdr:rowOff>133350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1219200</xdr:colOff>
      <xdr:row>10</xdr:row>
      <xdr:rowOff>133350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13</xdr:col>
      <xdr:colOff>1333500</xdr:colOff>
      <xdr:row>10</xdr:row>
      <xdr:rowOff>57150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rovilac.com/products/High-Protein-Milk" TargetMode="External"/><Relationship Id="rId2" Type="http://schemas.openxmlformats.org/officeDocument/2006/relationships/hyperlink" Target="https://epigamiastore.com/products/turbo-25-g-protein-milkshake-chocolate-v-epigamia" TargetMode="External"/><Relationship Id="rId3" Type="http://schemas.openxmlformats.org/officeDocument/2006/relationships/hyperlink" Target="https://amul.com/products/amul-highprotein-blueberryshake-info.php" TargetMode="External"/><Relationship Id="rId4" Type="http://schemas.openxmlformats.org/officeDocument/2006/relationships/hyperlink" Target="https://www.healthkart.com/sv/yogabar-26g-protein-shake/SP-132983" TargetMode="External"/><Relationship Id="rId5" Type="http://schemas.openxmlformats.org/officeDocument/2006/relationships/hyperlink" Target="https://www.bigbasket.com/pd/40200806/phab-protein-milkshake-swiss-chocolate-200-ml/" TargetMode="External"/><Relationship Id="rId6" Type="http://schemas.openxmlformats.org/officeDocument/2006/relationships/hyperlink" Target="https://www.bigbasket.com/pd/40184798/raw-pressery-protein-milkshake-choco-mint-200-ml/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3">
      <c r="D13" s="1" t="s">
        <v>0</v>
      </c>
      <c r="E13" s="2" t="s">
        <v>1</v>
      </c>
      <c r="F13" s="3" t="s">
        <v>2</v>
      </c>
      <c r="G13" s="4" t="s">
        <v>3</v>
      </c>
    </row>
    <row r="14">
      <c r="D14" s="1" t="s">
        <v>4</v>
      </c>
      <c r="E14" s="2" t="s">
        <v>5</v>
      </c>
      <c r="F14" s="3" t="s">
        <v>2</v>
      </c>
      <c r="G14" s="4" t="s">
        <v>6</v>
      </c>
    </row>
    <row r="15">
      <c r="D15" s="1" t="s">
        <v>7</v>
      </c>
      <c r="E15" s="2" t="s">
        <v>8</v>
      </c>
      <c r="F15" s="3" t="s">
        <v>9</v>
      </c>
      <c r="G15" s="4" t="s">
        <v>10</v>
      </c>
    </row>
    <row r="16">
      <c r="D16" s="1" t="s">
        <v>11</v>
      </c>
      <c r="E16" s="2" t="s">
        <v>12</v>
      </c>
      <c r="F16" s="3" t="s">
        <v>2</v>
      </c>
      <c r="G16" s="4" t="s">
        <v>13</v>
      </c>
    </row>
    <row r="17">
      <c r="D17" s="1" t="s">
        <v>14</v>
      </c>
      <c r="E17" s="2" t="s">
        <v>15</v>
      </c>
      <c r="F17" s="3" t="s">
        <v>16</v>
      </c>
      <c r="G17" s="4" t="s">
        <v>17</v>
      </c>
    </row>
    <row r="18">
      <c r="D18" s="1" t="s">
        <v>18</v>
      </c>
      <c r="E18" s="2" t="s">
        <v>19</v>
      </c>
      <c r="F18" s="3" t="s">
        <v>2</v>
      </c>
      <c r="G18" s="5" t="s">
        <v>20</v>
      </c>
    </row>
    <row r="19">
      <c r="D19" s="6" t="s">
        <v>21</v>
      </c>
      <c r="E19" s="7" t="s">
        <v>22</v>
      </c>
      <c r="F19" s="8" t="s">
        <v>16</v>
      </c>
      <c r="G19" s="9" t="s">
        <v>23</v>
      </c>
    </row>
  </sheetData>
  <hyperlinks>
    <hyperlink r:id="rId1" ref="G13"/>
    <hyperlink r:id="rId2" ref="G14"/>
    <hyperlink r:id="rId3" ref="G15"/>
    <hyperlink r:id="rId4" ref="G16"/>
    <hyperlink r:id="rId5" ref="G17"/>
    <hyperlink r:id="rId6" ref="G19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13.88"/>
    <col customWidth="1" min="7" max="7" width="24.88"/>
    <col customWidth="1" min="8" max="8" width="21.0"/>
    <col customWidth="1" min="9" max="11" width="19.5"/>
    <col customWidth="1" min="14" max="14" width="18.38"/>
    <col customWidth="1" min="18" max="18" width="19.38"/>
  </cols>
  <sheetData>
    <row r="1">
      <c r="A1" s="10" t="s">
        <v>24</v>
      </c>
      <c r="B1" s="10" t="s">
        <v>25</v>
      </c>
      <c r="C1" s="10" t="s">
        <v>26</v>
      </c>
      <c r="D1" s="10" t="s">
        <v>27</v>
      </c>
      <c r="E1" s="10" t="s">
        <v>28</v>
      </c>
      <c r="F1" s="10" t="s">
        <v>29</v>
      </c>
      <c r="G1" s="10" t="s">
        <v>30</v>
      </c>
      <c r="H1" s="10" t="s">
        <v>31</v>
      </c>
      <c r="I1" s="10" t="s">
        <v>32</v>
      </c>
      <c r="J1" s="10" t="s">
        <v>33</v>
      </c>
      <c r="K1" s="10" t="s">
        <v>34</v>
      </c>
      <c r="L1" s="10" t="s">
        <v>35</v>
      </c>
      <c r="M1" s="10" t="s">
        <v>36</v>
      </c>
      <c r="N1" s="10" t="s">
        <v>37</v>
      </c>
      <c r="O1" s="10" t="s">
        <v>38</v>
      </c>
      <c r="P1" s="10" t="s">
        <v>39</v>
      </c>
      <c r="Q1" s="10" t="s">
        <v>40</v>
      </c>
      <c r="R1" s="10" t="s">
        <v>41</v>
      </c>
    </row>
    <row r="2">
      <c r="A2" s="10" t="s">
        <v>0</v>
      </c>
      <c r="B2" s="10" t="s">
        <v>42</v>
      </c>
      <c r="C2" s="10">
        <v>250.0</v>
      </c>
      <c r="D2" s="10">
        <v>26.0</v>
      </c>
      <c r="E2" s="10">
        <v>130.0</v>
      </c>
      <c r="F2" s="10">
        <v>0.2</v>
      </c>
      <c r="G2" s="10" t="s">
        <v>43</v>
      </c>
      <c r="H2" s="10">
        <v>200.0</v>
      </c>
      <c r="I2" s="11">
        <f t="shared" ref="I2:I8" si="1">H2-(K2*4)</f>
        <v>192</v>
      </c>
      <c r="J2" s="10">
        <f t="shared" ref="J2:J8" si="2">K2*4</f>
        <v>8</v>
      </c>
      <c r="K2" s="10">
        <v>2.0</v>
      </c>
      <c r="L2" s="10">
        <v>0.0</v>
      </c>
      <c r="M2" s="10" t="s">
        <v>44</v>
      </c>
      <c r="N2" s="10">
        <v>4.5</v>
      </c>
      <c r="O2" s="10" t="s">
        <v>45</v>
      </c>
      <c r="P2" s="10" t="s">
        <v>46</v>
      </c>
      <c r="Q2" s="10" t="s">
        <v>47</v>
      </c>
      <c r="R2" s="10">
        <v>7.0</v>
      </c>
    </row>
    <row r="3">
      <c r="A3" s="10" t="s">
        <v>14</v>
      </c>
      <c r="B3" s="10" t="s">
        <v>48</v>
      </c>
      <c r="C3" s="10">
        <v>200.0</v>
      </c>
      <c r="D3" s="10">
        <v>18.0</v>
      </c>
      <c r="E3" s="10">
        <v>130.0</v>
      </c>
      <c r="F3" s="10">
        <v>0.138461538461538</v>
      </c>
      <c r="G3" s="10" t="s">
        <v>49</v>
      </c>
      <c r="H3" s="10">
        <v>180.0</v>
      </c>
      <c r="I3" s="10">
        <f t="shared" si="1"/>
        <v>168</v>
      </c>
      <c r="J3" s="10">
        <f t="shared" si="2"/>
        <v>12</v>
      </c>
      <c r="K3" s="10">
        <v>3.0</v>
      </c>
      <c r="L3" s="10">
        <v>4.0</v>
      </c>
      <c r="M3" s="10" t="s">
        <v>44</v>
      </c>
      <c r="N3" s="10">
        <v>4.3</v>
      </c>
      <c r="O3" s="10" t="s">
        <v>45</v>
      </c>
      <c r="P3" s="10" t="s">
        <v>46</v>
      </c>
      <c r="Q3" s="10" t="s">
        <v>47</v>
      </c>
      <c r="R3" s="10">
        <v>7.0</v>
      </c>
    </row>
    <row r="4">
      <c r="A4" s="10" t="s">
        <v>50</v>
      </c>
      <c r="B4" s="10" t="s">
        <v>51</v>
      </c>
      <c r="C4" s="10">
        <v>250.0</v>
      </c>
      <c r="D4" s="10">
        <v>26.0</v>
      </c>
      <c r="E4" s="10">
        <v>150.0</v>
      </c>
      <c r="F4" s="10">
        <v>0.173333333333333</v>
      </c>
      <c r="G4" s="10" t="s">
        <v>49</v>
      </c>
      <c r="H4" s="10">
        <v>170.0</v>
      </c>
      <c r="I4" s="10">
        <f t="shared" si="1"/>
        <v>154</v>
      </c>
      <c r="J4" s="10">
        <f t="shared" si="2"/>
        <v>16</v>
      </c>
      <c r="K4" s="10">
        <v>4.0</v>
      </c>
      <c r="L4" s="10">
        <v>1.0</v>
      </c>
      <c r="M4" s="10" t="s">
        <v>44</v>
      </c>
      <c r="N4" s="10">
        <v>4.4</v>
      </c>
      <c r="O4" s="10" t="s">
        <v>45</v>
      </c>
      <c r="P4" s="10" t="s">
        <v>46</v>
      </c>
      <c r="Q4" s="10" t="s">
        <v>47</v>
      </c>
      <c r="R4" s="10">
        <v>7.4</v>
      </c>
    </row>
    <row r="5">
      <c r="A5" s="10" t="s">
        <v>52</v>
      </c>
      <c r="B5" s="10" t="s">
        <v>53</v>
      </c>
      <c r="C5" s="10">
        <v>250.0</v>
      </c>
      <c r="D5" s="10">
        <v>20.0</v>
      </c>
      <c r="E5" s="10">
        <v>120.0</v>
      </c>
      <c r="F5" s="10">
        <v>0.166666666666667</v>
      </c>
      <c r="G5" s="10" t="s">
        <v>54</v>
      </c>
      <c r="H5" s="10">
        <v>170.0</v>
      </c>
      <c r="I5" s="10">
        <f t="shared" si="1"/>
        <v>154</v>
      </c>
      <c r="J5" s="10">
        <f t="shared" si="2"/>
        <v>16</v>
      </c>
      <c r="K5" s="10">
        <v>4.0</v>
      </c>
      <c r="L5" s="10">
        <v>5.0</v>
      </c>
      <c r="M5" s="10" t="s">
        <v>44</v>
      </c>
      <c r="N5" s="10">
        <v>4.0</v>
      </c>
      <c r="O5" s="10" t="s">
        <v>45</v>
      </c>
      <c r="P5" s="10" t="s">
        <v>55</v>
      </c>
      <c r="Q5" s="10" t="s">
        <v>47</v>
      </c>
      <c r="R5" s="10">
        <v>7.0</v>
      </c>
    </row>
    <row r="6">
      <c r="A6" s="10" t="s">
        <v>11</v>
      </c>
      <c r="B6" s="10" t="s">
        <v>56</v>
      </c>
      <c r="C6" s="10">
        <v>250.0</v>
      </c>
      <c r="D6" s="10">
        <v>26.0</v>
      </c>
      <c r="E6" s="10">
        <v>120.0</v>
      </c>
      <c r="F6" s="10">
        <v>0.216666666666667</v>
      </c>
      <c r="G6" s="10" t="s">
        <v>57</v>
      </c>
      <c r="H6" s="10">
        <v>160.0</v>
      </c>
      <c r="I6" s="10">
        <f t="shared" si="1"/>
        <v>140</v>
      </c>
      <c r="J6" s="10">
        <f t="shared" si="2"/>
        <v>20</v>
      </c>
      <c r="K6" s="10">
        <v>5.0</v>
      </c>
      <c r="L6" s="10">
        <v>3.0</v>
      </c>
      <c r="M6" s="10" t="s">
        <v>44</v>
      </c>
      <c r="N6" s="10">
        <v>4.1</v>
      </c>
      <c r="O6" s="10" t="s">
        <v>45</v>
      </c>
      <c r="P6" s="10" t="s">
        <v>58</v>
      </c>
      <c r="Q6" s="10" t="s">
        <v>47</v>
      </c>
      <c r="R6" s="10">
        <v>8.0</v>
      </c>
    </row>
    <row r="7">
      <c r="A7" s="10" t="s">
        <v>59</v>
      </c>
      <c r="B7" s="10" t="s">
        <v>60</v>
      </c>
      <c r="C7" s="10">
        <v>200.0</v>
      </c>
      <c r="D7" s="10">
        <v>18.0</v>
      </c>
      <c r="E7" s="10">
        <v>100.0</v>
      </c>
      <c r="F7" s="10">
        <v>0.18</v>
      </c>
      <c r="G7" s="10" t="s">
        <v>49</v>
      </c>
      <c r="H7" s="10">
        <v>150.0</v>
      </c>
      <c r="I7" s="10">
        <f t="shared" si="1"/>
        <v>138</v>
      </c>
      <c r="J7" s="10">
        <f t="shared" si="2"/>
        <v>12</v>
      </c>
      <c r="K7" s="10">
        <v>3.0</v>
      </c>
      <c r="L7" s="10">
        <v>7.0</v>
      </c>
      <c r="M7" s="10" t="s">
        <v>44</v>
      </c>
      <c r="N7" s="10">
        <v>4.2</v>
      </c>
      <c r="O7" s="10" t="s">
        <v>45</v>
      </c>
      <c r="P7" s="10" t="s">
        <v>46</v>
      </c>
      <c r="Q7" s="10" t="s">
        <v>47</v>
      </c>
      <c r="R7" s="10">
        <v>8.4</v>
      </c>
    </row>
    <row r="8">
      <c r="A8" s="10" t="s">
        <v>7</v>
      </c>
      <c r="B8" s="10" t="s">
        <v>61</v>
      </c>
      <c r="C8" s="10">
        <v>200.0</v>
      </c>
      <c r="D8" s="10">
        <v>20.0</v>
      </c>
      <c r="E8" s="10">
        <v>50.0</v>
      </c>
      <c r="F8" s="10">
        <v>0.4</v>
      </c>
      <c r="G8" s="10" t="s">
        <v>62</v>
      </c>
      <c r="H8" s="10">
        <v>140.0</v>
      </c>
      <c r="I8" s="10">
        <f t="shared" si="1"/>
        <v>128</v>
      </c>
      <c r="J8" s="10">
        <f t="shared" si="2"/>
        <v>12</v>
      </c>
      <c r="K8" s="10">
        <v>3.0</v>
      </c>
      <c r="L8" s="10">
        <v>2.5</v>
      </c>
      <c r="M8" s="10" t="s">
        <v>44</v>
      </c>
      <c r="N8" s="10">
        <v>4.3</v>
      </c>
      <c r="O8" s="10" t="s">
        <v>45</v>
      </c>
      <c r="P8" s="10" t="s">
        <v>58</v>
      </c>
      <c r="Q8" s="10" t="s">
        <v>47</v>
      </c>
      <c r="R8" s="10">
        <v>9.1</v>
      </c>
    </row>
  </sheetData>
  <drawing r:id="rId1"/>
</worksheet>
</file>